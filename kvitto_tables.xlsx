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-кейсы" sheetId="1" state="visible" r:id="rId1"/>
    <sheet name="Ба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Golos Text"/>
      <color rgb="0008704B"/>
      <sz val="10"/>
      <u val="single"/>
    </font>
  </fonts>
  <fills count="3">
    <fill>
      <patternFill/>
    </fill>
    <fill>
      <patternFill patternType="gray125"/>
    </fill>
    <fill>
      <patternFill patternType="solid">
        <fgColor rgb="0008704B"/>
        <bgColor rgb="000870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35" customWidth="1" min="4" max="4"/>
    <col width="35" customWidth="1" min="5" max="5"/>
    <col width="14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Предусловия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  <c r="G1" s="1" t="inlineStr">
        <is>
          <t>Ссылка на баг</t>
        </is>
      </c>
    </row>
    <row r="2">
      <c r="A2" s="2" t="inlineStr">
        <is>
          <t>TC-01</t>
        </is>
      </c>
      <c r="B2" s="2" t="inlineStr">
        <is>
          <t>Оформление заказа по умолчанию (Тариф «Стандарт» 19 900 ₽, Банковская карта, оферта)</t>
        </is>
      </c>
      <c r="C2" s="2" t="inlineStr">
        <is>
          <t>Открыть https://kvitto-qa-demo.vercel.app. По умолчанию выбран тариф «Стандарт».</t>
        </is>
      </c>
      <c r="D2" s="2" t="inlineStr">
        <is>
          <t>1. Заполнить «Имя и фамилия»: «Иван Иванов»
2. Заполнить «Email»: «ivan@example.com»
3. Заполнить «Телефон»: «+7 999 123-45-67»
4. Способ оплаты: оставить «Банковская карта»
5. Установить чекбокс оферты
6. Нажать кнопку «Оплатить 19 900 ₽»</t>
        </is>
      </c>
      <c r="E2" s="2" t="inlineStr">
        <is>
          <t>Кнопка блокируется до ответа сервера. Платёж создаётся со статусом 201 (amount 19 900 ₽). Открывается экран успеха с уникальным номером, суммой 19 900 ₽, методом «Банковская карта» и «Чек на: ivan@example.com».</t>
        </is>
      </c>
      <c r="F2" s="2" t="inlineStr">
        <is>
          <t>Failed</t>
        </is>
      </c>
      <c r="G2" s="2" t="inlineStr">
        <is>
          <t>BUG-06, BUG-07, BUG-10, BUG-12</t>
        </is>
      </c>
    </row>
    <row r="3">
      <c r="A3" s="2" t="inlineStr">
        <is>
          <t>TC-02</t>
        </is>
      </c>
      <c r="B3" s="2" t="inlineStr">
        <is>
          <t>Применение валидного промокода в нижнем регистре «kvitto10»</t>
        </is>
      </c>
      <c r="C3" s="2" t="inlineStr">
        <is>
          <t>Выбран тариф «Стандарт» (19 900 ₽). Поле промокода пустое.</t>
        </is>
      </c>
      <c r="D3" s="2" t="inlineStr">
        <is>
          <t>1. Ввести в поле «Промокод» значение «kvitto10» в нижнем регистре
2. Нажать кнопку «Применить»</t>
        </is>
      </c>
      <c r="E3" s="2" t="inlineStr">
        <is>
          <t>Промокод успешно применяется (регистр не важен). Появляется сообщение «Промокод применён: −10%». В блоке «Итого» отображается скидка −1 990 ₽, итоговая сумма к оплате и сумма на кнопке: 17 910 ₽.</t>
        </is>
      </c>
      <c r="F3" s="2" t="inlineStr">
        <is>
          <t>Failed</t>
        </is>
      </c>
      <c r="G3" s="2" t="inlineStr">
        <is>
          <t>BUG-03</t>
        </is>
      </c>
    </row>
    <row r="4">
      <c r="A4" s="2" t="inlineStr">
        <is>
          <t>TC-03</t>
        </is>
      </c>
      <c r="B4" s="2" t="inlineStr">
        <is>
          <t>Расчёт ежемесячного платежа рассрочки на 6 месяцев без переплаты</t>
        </is>
      </c>
      <c r="C4" s="2" t="inlineStr">
        <is>
          <t>Выбран тариф «Стандарт» (19 900 ₽), скидка 0 ₽.</t>
        </is>
      </c>
      <c r="D4" s="2" t="inlineStr">
        <is>
          <t>1. В блоке «Способ оплаты» выбрать «Рассрочка 0%»
2. В блоке срока нажать кнопку «6 мес.»</t>
        </is>
      </c>
      <c r="E4" s="2" t="inlineStr">
        <is>
          <t>Отображается подсказка с расчётом ежемесячного платежа: 19 900 / 6 = 3 316.67 ₽, с округлением вверх: 3 317 ₽. Текст: «Платёж 3 317 ₽ в месяц · без переплаты».</t>
        </is>
      </c>
      <c r="F4" s="2" t="inlineStr">
        <is>
          <t>Failed</t>
        </is>
      </c>
      <c r="G4" s="2" t="inlineStr">
        <is>
          <t>BUG-02</t>
        </is>
      </c>
    </row>
    <row r="5">
      <c r="A5" s="2" t="inlineStr">
        <is>
          <t>TC-04</t>
        </is>
      </c>
      <c r="B5" s="2" t="inlineStr">
        <is>
          <t>Ввод двойной фамилии через дефис в поле «Имя и фамилия»</t>
        </is>
      </c>
      <c r="C5" s="2" t="inlineStr">
        <is>
          <t>Форма оплаты открыта. Поле «Имя и фамилия» пустое.</t>
        </is>
      </c>
      <c r="D5" s="2" t="inlineStr">
        <is>
          <t>1. Ввести в поле «Имя и фамилия»: «Анна-Мария Смирнова-Петрова»
2. Заполнить валидные Email, Телефон, установить оферту
3. Нажать «Оплатить»</t>
        </is>
      </c>
      <c r="E5" s="2" t="inlineStr">
        <is>
          <t>Дефис допустим по требованиям ТЗ (кириллица, латиница, пробел, дефис). Валидация проходит успешно, сообщение об ошибке отсутствует, запрос отправляется на сервер.</t>
        </is>
      </c>
      <c r="F5" s="2" t="inlineStr">
        <is>
          <t>Failed</t>
        </is>
      </c>
      <c r="G5" s="2" t="inlineStr">
        <is>
          <t>BUG-05</t>
        </is>
      </c>
    </row>
    <row r="6">
      <c r="A6" s="2" t="inlineStr">
        <is>
          <t>TC-05</t>
        </is>
      </c>
      <c r="B6" s="2" t="inlineStr">
        <is>
          <t>Граничные значения длины поля «Имя и фамилия» (2, 99, 100 и 101 символ)</t>
        </is>
      </c>
      <c r="C6" s="2" t="inlineStr">
        <is>
          <t>Форма оплаты открыта.</t>
        </is>
      </c>
      <c r="D6" s="2" t="inlineStr">
        <is>
          <t>1. Нижняя граница: ввести 2 символа («Ян Ли»)
2. Околопредельная верхняя: ввести 99 символов
3. Точная верхняя граница: ввести ровно 100 символов
4. Выход за границу: ввести 101 символ</t>
        </is>
      </c>
      <c r="E6" s="2" t="inlineStr">
        <is>
          <t>Значения длиной 2, 99 и 100 символов валидны (ошибки нет, форма активна). При вводе 101-го символа срабатывает ограничение maxlength=100, либо при программной вставке форма выдаёт ошибку валидации.</t>
        </is>
      </c>
      <c r="F6" s="2" t="inlineStr">
        <is>
          <t>Passed</t>
        </is>
      </c>
      <c r="G6" s="2" t="inlineStr">
        <is>
          <t>—</t>
        </is>
      </c>
    </row>
    <row r="7">
      <c r="A7" s="2" t="inlineStr">
        <is>
          <t>TC-06</t>
        </is>
      </c>
      <c r="B7" s="2" t="inlineStr">
        <is>
          <t>Отображение ошибки при вводе некорректного Email (без доменной зоны)</t>
        </is>
      </c>
      <c r="C7" s="2" t="inlineStr">
        <is>
          <t>Форма оплаты открыта.</t>
        </is>
      </c>
      <c r="D7" s="2" t="inlineStr">
        <is>
          <t>1. Ввести в поле «Email»: «user@domain» (без точки и доменной зоны)
2. Заполнить имя и телефон
3. Нажать «Оплатить»</t>
        </is>
      </c>
      <c r="E7" s="2" t="inlineStr">
        <is>
          <t>Форма не отправляется. Сообщение об ошибке формата email строго выводится под полем «Email» («err-email»). Поле подсвечивается красной рамкой.</t>
        </is>
      </c>
      <c r="F7" s="2" t="inlineStr">
        <is>
          <t>Failed</t>
        </is>
      </c>
      <c r="G7" s="2" t="inlineStr">
        <is>
          <t>BUG-04</t>
        </is>
      </c>
    </row>
    <row r="8">
      <c r="A8" s="2" t="inlineStr">
        <is>
          <t>TC-07</t>
        </is>
      </c>
      <c r="B8" s="2" t="inlineStr">
        <is>
          <t>Переключение со способа «Рассрочка 0%» на «Банковская карта»</t>
        </is>
      </c>
      <c r="C8" s="2" t="inlineStr">
        <is>
          <t>Форма оплаты открыта, выбран способ «Рассрочка 0%», блок срока виден.</t>
        </is>
      </c>
      <c r="D8" s="2" t="inlineStr">
        <is>
          <t>1. В блоке способов оплаты нажать «Банковская карта»
2. Проверить видимость блока срока рассрочки
3. Заполнить форму и отправить запрос на оплату картой</t>
        </is>
      </c>
      <c r="E8" s="2" t="inlineStr">
        <is>
          <t>Блок выбора срока рассрочки полностью скрывается (виден только при выбранной рассрочке). В теле запроса к API параметр installment_months отсутствует.</t>
        </is>
      </c>
      <c r="F8" s="2" t="inlineStr">
        <is>
          <t>Failed</t>
        </is>
      </c>
      <c r="G8" s="2" t="inlineStr">
        <is>
          <t>BUG-01</t>
        </is>
      </c>
    </row>
    <row r="9">
      <c r="A9" s="2" t="inlineStr">
        <is>
          <t>TC-08</t>
        </is>
      </c>
      <c r="B9" s="2" t="inlineStr">
        <is>
          <t>Соответствие цены выбранного тарифа «Премиум» в «Итого» и на кнопке</t>
        </is>
      </c>
      <c r="C9" s="2" t="inlineStr">
        <is>
          <t>Форма оплаты открыта.</t>
        </is>
      </c>
      <c r="D9" s="2" t="inlineStr">
        <is>
          <t>1. Нажать на карточку тарифа «Премиум» (в карточке указано: 29 900 ₽)
2. Проверить сумму в строке «Стоимость» блока «Итого»
3. Проверить сумму в строке «К оплате» и надпись на кнопке</t>
        </is>
      </c>
      <c r="E9" s="2" t="inlineStr">
        <is>
          <t>Сумма в блоке «Итого» и на кнопке оплаты строго совпадает с ценой выбранного тарифа из раздела 2 ТЗ (29 900 ₽). На кнопке: «Оплатить 29 900 ₽».</t>
        </is>
      </c>
      <c r="F9" s="2" t="inlineStr">
        <is>
          <t>Failed</t>
        </is>
      </c>
      <c r="G9" s="2" t="inlineStr">
        <is>
          <t>BUG-08</t>
        </is>
      </c>
    </row>
    <row r="10">
      <c r="A10" s="2" t="inlineStr">
        <is>
          <t>TC-09</t>
        </is>
      </c>
      <c r="B10" s="2" t="inlineStr">
        <is>
          <t>Однократность промокода и пересчёт скидки при смене тарифа</t>
        </is>
      </c>
      <c r="C10" s="2" t="inlineStr">
        <is>
          <t>Выбран тариф «Стандарт» (19 900 ₽). Применён промокод «KVITTO10» (скидка 1 990 ₽).</t>
        </is>
      </c>
      <c r="D10" s="2" t="inlineStr">
        <is>
          <t>1. Повторно нажать кнопку «Применить» рядом с промокодом
2. Переключить тариф на «Базовый» (9 900 ₽)
3. Проверить размер скидки и сумму к оплате</t>
        </is>
      </c>
      <c r="E10" s="2" t="inlineStr">
        <is>
          <t>Промокод применяется только 1 раз (скидка не удваивается). При смене тарифа на «Базовый» скидка пересчитывается: 10% от 9 900 ₽ = 990 ₽. Итого к оплате: 8 910 ₽.</t>
        </is>
      </c>
      <c r="F10" s="2" t="inlineStr">
        <is>
          <t>Failed</t>
        </is>
      </c>
      <c r="G10" s="2" t="inlineStr">
        <is>
          <t>BUG-09</t>
        </is>
      </c>
    </row>
    <row r="11">
      <c r="A11" s="2" t="inlineStr">
        <is>
          <t>TC-10</t>
        </is>
      </c>
      <c r="B11" s="2" t="inlineStr">
        <is>
          <t>Отправка чека на альтернативный email (receipt_email)</t>
        </is>
      </c>
      <c r="C11" s="2" t="inlineStr">
        <is>
          <t>Форма оплаты открыта.</t>
        </is>
      </c>
      <c r="D11" s="2" t="inlineStr">
        <is>
          <t>1. Заполнить основной Email: «main@example.com»
2. Установить чекбокс «Отправить чек на другой email»
3. В появившееся поле ввести «other@company.ru»
4. Заполнить остальные обязательные поля и нажать «Оплатить»</t>
        </is>
      </c>
      <c r="E11" s="2" t="inlineStr">
        <is>
          <t>В запросе к API передается receipt_email: 'other@company.ru'. Сервер сохраняет данный адрес. На экране успеха в поле «Чек на» отображается «other@company.ru».</t>
        </is>
      </c>
      <c r="F11" s="2" t="inlineStr">
        <is>
          <t>Failed</t>
        </is>
      </c>
      <c r="G11" s="2" t="inlineStr">
        <is>
          <t>BUG-10, BUG-15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5" customWidth="1" min="4" max="4"/>
    <col width="30" customWidth="1" min="5" max="5"/>
    <col width="30" customWidth="1" min="6" max="6"/>
    <col width="16" customWidth="1" min="7" max="7"/>
    <col width="16" customWidth="1" min="8" max="8"/>
    <col width="35" customWidth="1" min="9" max="9"/>
  </cols>
  <sheetData>
    <row r="1">
      <c r="A1" s="1" t="inlineStr">
        <is>
          <t>ID</t>
        </is>
      </c>
      <c r="B1" s="1" t="inlineStr">
        <is>
          <t>Заголовок</t>
        </is>
      </c>
      <c r="C1" s="1" t="inlineStr">
        <is>
          <t>Окружение</t>
        </is>
      </c>
      <c r="D1" s="1" t="inlineStr">
        <is>
          <t>Шаги</t>
        </is>
      </c>
      <c r="E1" s="1" t="inlineStr">
        <is>
          <t>Ожидаемо</t>
        </is>
      </c>
      <c r="F1" s="1" t="inlineStr">
        <is>
          <t>Фактически</t>
        </is>
      </c>
      <c r="G1" s="1" t="inlineStr">
        <is>
          <t>Серьёзность</t>
        </is>
      </c>
      <c r="H1" s="1" t="inlineStr">
        <is>
          <t>Приоритет</t>
        </is>
      </c>
      <c r="I1" s="1" t="inlineStr">
        <is>
          <t>Вложения</t>
        </is>
      </c>
    </row>
    <row r="2">
      <c r="A2" s="2" t="inlineStr">
        <is>
          <t>BUG-01</t>
        </is>
      </c>
      <c r="B2" s="2" t="inlineStr">
        <is>
          <t>Способ оплаты: Блок выбора срока рассрочки не скрывается при выборе «Карта» или «СБП»</t>
        </is>
      </c>
      <c r="C2" s="2" t="inlineStr">
        <is>
          <t>Chrome 129, Windows 11, стенд https://kvitto-qa-demo.vercel.app</t>
        </is>
      </c>
      <c r="D2" s="2" t="inlineStr">
        <is>
          <t>1. Открыть страницу оплаты https://kvitto-qa-demo.vercel.app
2. В блоке способов оплаты нажать «Рассрочка 0%» (появляются кнопки 3, 6, 12 мес.)
3. Переключить способ оплаты на «Банковская карта» или «СБП»</t>
        </is>
      </c>
      <c r="E2" s="2" t="inlineStr">
        <is>
          <t>Блок выбора срока рассрочки скрывается (по ТЗ: «блок сроков виден только при выбранной рассрочке»).</t>
        </is>
      </c>
      <c r="F2" s="2" t="inlineStr">
        <is>
          <t>Блок срока остаётся на экране. При отправке формы параметр installment_months передаётся на сервер даже для оплаты картой.</t>
        </is>
      </c>
      <c r="G2" s="2" t="inlineStr">
        <is>
          <t>Высокая</t>
        </is>
      </c>
      <c r="H2" s="2" t="inlineStr">
        <is>
          <t>Высокий</t>
        </is>
      </c>
      <c r="I2" s="3">
        <f>HYPERLINK("https://github.com/msmr14/kvittoqademo/blob/main/screenshots/BUG-01.png", "скриншот формы с видимым блоком рассрочки ↗")</f>
        <v/>
      </c>
    </row>
    <row r="3">
      <c r="A3" s="2" t="inlineStr">
        <is>
          <t>BUG-02</t>
        </is>
      </c>
      <c r="B3" s="2" t="inlineStr">
        <is>
          <t>Рассрочка: Неверный расчёт ежемесячного платежа на 6 месяцев (завышение суммы)</t>
        </is>
      </c>
      <c r="C3" s="2" t="inlineStr">
        <is>
          <t>Chrome 129, Safari 18, Windows 11, стенд https://kvitto-qa-demo.vercel.app</t>
        </is>
      </c>
      <c r="D3" s="2" t="inlineStr">
        <is>
          <t>1. Выбрать тариф «Стандарт» (19 900 ₽)
2. Выбрать способ оплаты «Рассрочка 0%»
3. Нажать срок «6 мес.»
4. Проверить подсказку о ежемесячном платеже</t>
        </is>
      </c>
      <c r="E3" s="2" t="inlineStr">
        <is>
          <t>Платёж = 19 900 / 6 = 3 317 ₽/мес. Текст: «Платёж 3 317 ₽ в месяц · без переплаты».</t>
        </is>
      </c>
      <c r="F3" s="2" t="inlineStr">
        <is>
          <t>Отображается: «Платёж 3 980 ₽ в месяц · без переплаты» (сумма рассчитана делением на 5 вместо 6: 19 900 / 5 = 3 980). Завышение платежа на 663 ₽.</t>
        </is>
      </c>
      <c r="G3" s="2" t="inlineStr">
        <is>
          <t>Критическая</t>
        </is>
      </c>
      <c r="H3" s="2" t="inlineStr">
        <is>
          <t>Критический</t>
        </is>
      </c>
      <c r="I3" s="3">
        <f>HYPERLINK("https://github.com/msmr14/kvittoqademo/blob/main/screenshots/BUG-02.png", "скриншот подсказки с суммой 3 980 ₽ ↗")</f>
        <v/>
      </c>
    </row>
    <row r="4">
      <c r="A4" s="2" t="inlineStr">
        <is>
          <t>BUG-03</t>
        </is>
      </c>
      <c r="B4" s="2" t="inlineStr">
        <is>
          <t>Промокод: Промокод KVITTO10 чувствителен к регистру (ошибка при вводе строчными буквами)</t>
        </is>
      </c>
      <c r="C4" s="2" t="inlineStr">
        <is>
          <t>Chrome 129, Firefox 131, Windows 11, стенд https://kvitto-qa-demo.vercel.app</t>
        </is>
      </c>
      <c r="D4" s="2" t="inlineStr">
        <is>
          <t>1. Ввести в поле «Промокод» значение «kvitto10» (маленькими буквами)
2. Нажать кнопку «Применить»</t>
        </is>
      </c>
      <c r="E4" s="2" t="inlineStr">
        <is>
          <t>Промокод принимается (по ТЗ: «KVITTO10 даёт −10% от цены тарифа, регистр не важен»). Скидка 10% начисляется.</t>
        </is>
      </c>
      <c r="F4" s="2" t="inlineStr">
        <is>
          <t>Появляется сообщение об ошибке: «Промокод не найден». Скидка не применяется.</t>
        </is>
      </c>
      <c r="G4" s="2" t="inlineStr">
        <is>
          <t>Высокая</t>
        </is>
      </c>
      <c r="H4" s="2" t="inlineStr">
        <is>
          <t>Высокий</t>
        </is>
      </c>
      <c r="I4" s="3">
        <f>HYPERLINK("https://github.com/msmr14/kvittoqademo/blob/main/screenshots/BUG-03.png", "скриншот поля промокода с сообщением об ошибке ↗")</f>
        <v/>
      </c>
    </row>
    <row r="5">
      <c r="A5" s="2" t="inlineStr">
        <is>
          <t>BUG-04</t>
        </is>
      </c>
      <c r="B5" s="2" t="inlineStr">
        <is>
          <t>Валидация: Сообщение об ошибке поля Email отображается под полем «Телефон»</t>
        </is>
      </c>
      <c r="C5" s="2" t="inlineStr">
        <is>
          <t>Chrome 129, Windows 11, стенд https://kvitto-qa-demo.vercel.app</t>
        </is>
      </c>
      <c r="D5" s="2" t="inlineStr">
        <is>
          <t>1. Оставить поле «Email» пустым (или ввести «test@domain» без зоны)
2. Заполнить валидный телефон: «+7 999 123-45-67»
3. Нажать кнопку «Оплатить»</t>
        </is>
      </c>
      <c r="E5" s="2" t="inlineStr">
        <is>
          <t>Сообщение об ошибке выводится строго под полем Email (по ТЗ: «Ошибка выводится под полем Email»).</t>
        </is>
      </c>
      <c r="F5" s="2" t="inlineStr">
        <is>
          <t>Сообщение «Введите корректный email» отображается под полем Телефон, дезориентируя пользователя.</t>
        </is>
      </c>
      <c r="G5" s="2" t="inlineStr">
        <is>
          <t>Средняя</t>
        </is>
      </c>
      <c r="H5" s="2" t="inlineStr">
        <is>
          <t>Высокий</t>
        </is>
      </c>
      <c r="I5" s="3">
        <f>HYPERLINK("https://github.com/msmr14/kvittoqademo/blob/main/screenshots/BUG-04.png", "скриншот формы с ошибкой email под телефоном ↗")</f>
        <v/>
      </c>
    </row>
    <row r="6">
      <c r="A6" s="2" t="inlineStr">
        <is>
          <t>BUG-05</t>
        </is>
      </c>
      <c r="B6" s="2" t="inlineStr">
        <is>
          <t>Валидация: Поле «Имя и фамилия» не принимает дефис (блокирует двойные фамилии)</t>
        </is>
      </c>
      <c r="C6" s="2" t="inlineStr">
        <is>
          <t>Chrome 129, Windows 11, стенд https://kvitto-qa-demo.vercel.app</t>
        </is>
      </c>
      <c r="D6" s="2" t="inlineStr">
        <is>
          <t>1. Ввести в поле «Имя и фамилия»: «Анна-Мария Смирнова» или «Мамин-Сибиряк»
2. Заполнить остальные поля и нажать «Оплатить»</t>
        </is>
      </c>
      <c r="E6" s="2" t="inlineStr">
        <is>
          <t>Поле валидно (по ТЗ: «От 2 до 100 символов: кириллица, латиница, пробел и дефис»). Ошибки нет.</t>
        </is>
      </c>
      <c r="F6" s="2" t="inlineStr">
        <is>
          <t>Поле подсвечивается красной рамкой, появляется ошибка «Укажите имя и фамилию». Оплата заблокирована.</t>
        </is>
      </c>
      <c r="G6" s="2" t="inlineStr">
        <is>
          <t>Высокая</t>
        </is>
      </c>
      <c r="H6" s="2" t="inlineStr">
        <is>
          <t>Высокий</t>
        </is>
      </c>
      <c r="I6" s="3">
        <f>HYPERLINK("https://github.com/msmr14/kvittoqademo/blob/main/screenshots/BUG-05.png", "скриншот формы с ошибкой валидации двойной фамилии ↗")</f>
        <v/>
      </c>
    </row>
    <row r="7">
      <c r="A7" s="2" t="inlineStr">
        <is>
          <t>BUG-06</t>
        </is>
      </c>
      <c r="B7" s="2" t="inlineStr">
        <is>
          <t>Оферта: Кнопка «Оплатить» активна без проставления чекбокса согласия с офертой</t>
        </is>
      </c>
      <c r="C7" s="2" t="inlineStr">
        <is>
          <t>Chrome 129, Windows 11, стенд https://kvitto-qa-demo.vercel.app</t>
        </is>
      </c>
      <c r="D7" s="2" t="inlineStr">
        <is>
          <t>1. Открыть форму оплаты
2. Убедиться, что галочка в чекбоксе «Принимаю условия оферты...» не стоит
3. Заполнить имя, email, телефон и нажать кнопку «Оплатить»</t>
        </is>
      </c>
      <c r="E7" s="2" t="inlineStr">
        <is>
          <t>Кнопка «Оплатить» неактивна (по ТЗ: «Пока галочка не стоит, кнопка оплаты неактивна»). Нажатие невозможно.</t>
        </is>
      </c>
      <c r="F7" s="2" t="inlineStr">
        <is>
          <t>Кнопка активна с самого начала. Оплата успешно отправляется без согласия с офертой и правилами обработки ПДн.</t>
        </is>
      </c>
      <c r="G7" s="2" t="inlineStr">
        <is>
          <t>Критическая</t>
        </is>
      </c>
      <c r="H7" s="2" t="inlineStr">
        <is>
          <t>Критический</t>
        </is>
      </c>
      <c r="I7" s="3">
        <f>HYPERLINK("https://github.com/msmr14/kvittoqademo/blob/main/screenshots/BUG-06.png", "скриншот формы с активной кнопкой при снятом чекбоксе ↗")</f>
        <v/>
      </c>
    </row>
    <row r="8">
      <c r="A8" s="2" t="inlineStr">
        <is>
          <t>BUG-07</t>
        </is>
      </c>
      <c r="B8" s="2" t="inlineStr">
        <is>
          <t>Оплата: Кнопка «Оплатить» не блокируется на время выполнения запроса (риск дабл-клика)</t>
        </is>
      </c>
      <c r="C8" s="2" t="inlineStr">
        <is>
          <t>Chrome 129, профиль замедления сети «Slow 3G» в DevTools, Windows 11, стенд https://kvitto-qa-demo.vercel.app</t>
        </is>
      </c>
      <c r="D8" s="2" t="inlineStr">
        <is>
          <t>1. В DevTools на вкладке Network включить профиль замедления сети: «Slow 3G» (эмуляция задержки RTT ~2000 мс)
2. Заполнить валидные данные формы (Имя, Email, Телефон, установить чекбокс оферты)
3. Нажать кнопку «Оплатить» 3-4 раза подряд с интервалом менее 200 мс до завершения первого сетевого запроса
4. Проверить входящие/исходящие запросы во вкладке Network</t>
        </is>
      </c>
      <c r="E8" s="2" t="inlineStr">
        <is>
          <t>Кнопка переходит в состояние disabled сразу после первого нажатия (по ТЗ: «После нажатия блокируется до ответа сервера»). Повторные клики игнорируются, отправляется строго 1 запрос.</t>
        </is>
      </c>
      <c r="F8" s="2" t="inlineStr">
        <is>
          <t>Кнопка остаётся активной и кликабельной, генерируя 3-4 параллельных запроса POST /api/payments, что приводит к созданию дубликатов заказов и риску повторных списаний средств.</t>
        </is>
      </c>
      <c r="G8" s="2" t="inlineStr">
        <is>
          <t>Критическая</t>
        </is>
      </c>
      <c r="H8" s="2" t="inlineStr">
        <is>
          <t>Критический</t>
        </is>
      </c>
      <c r="I8" s="3">
        <f>HYPERLINK("https://github.com/msmr14/kvittoqademo/blob/main/bug_reports.md#bug-07", "шаги с эмуляцией Slow 3G в DevTools ↗")</f>
        <v/>
      </c>
    </row>
    <row r="9">
      <c r="A9" s="2" t="inlineStr">
        <is>
          <t>BUG-08</t>
        </is>
      </c>
      <c r="B9" s="2" t="inlineStr">
        <is>
          <t>Тарифы: Несоответствие цены тарифа «Премиум» (в карточке 29 900 ₽, в «Итого» — 32 900 ₽)</t>
        </is>
      </c>
      <c r="C9" s="2" t="inlineStr">
        <is>
          <t>Chrome 129, Windows 11, стенд https://kvitto-qa-demo.vercel.app</t>
        </is>
      </c>
      <c r="D9" s="2" t="inlineStr">
        <is>
          <t>1. Нажать на карточку тарифа «Премиум» (на карточке указана цена 29 900 ₽)
2. Проверить блок «Итого» и надпись на кнопке оплаты</t>
        </is>
      </c>
      <c r="E9" s="2" t="inlineStr">
        <is>
          <t>Сумма в блоке «Итого» и на кнопке равна 29 900 ₽ (по ТЗ: «Премиум — 29 900 ₽. Сумма в «Итого» и на кнопке оплаты совпадает с ценой выбранного тарифа»).</t>
        </is>
      </c>
      <c r="F9" s="2" t="inlineStr">
        <is>
          <t>В блоке «Итого» и на кнопке отображается 32 900 ₽. Сумма списания завышена на 3 000 ₽ по сравнению с ценой на витрине.</t>
        </is>
      </c>
      <c r="G9" s="2" t="inlineStr">
        <is>
          <t>Блокирующая</t>
        </is>
      </c>
      <c r="H9" s="2" t="inlineStr">
        <is>
          <t>Критический</t>
        </is>
      </c>
      <c r="I9" s="3">
        <f>HYPERLINK("https://github.com/msmr14/kvittoqademo/blob/main/screenshots/BUG-08.png", "скриншот экрана с расхождением цены тарифа Премиум ↗")</f>
        <v/>
      </c>
    </row>
    <row r="10">
      <c r="A10" s="2" t="inlineStr">
        <is>
          <t>BUG-09</t>
        </is>
      </c>
      <c r="B10" s="2" t="inlineStr">
        <is>
          <t>Промокод: Скидка суммируется при повторных нажатиях «Применить» и не пересчитывается при смене тарифа</t>
        </is>
      </c>
      <c r="C10" s="2" t="inlineStr">
        <is>
          <t>Chrome 129, Windows 11, стенд https://kvitto-qa-demo.vercel.app</t>
        </is>
      </c>
      <c r="D10" s="2" t="inlineStr">
        <is>
          <t>1. Ввести промокод «KVITTO10» и нажать кнопку «Применить» несколько раз подряд
2. Переключить тариф со «Стандарт» на «Базовый»</t>
        </is>
      </c>
      <c r="E10" s="2" t="inlineStr">
        <is>
          <t>Промокод применяется ровно 1 раз (по ТЗ: «Применяется один раз»). При смене тарифа скидка пересчитывается от новой цены (10% от 9 900 ₽ = 990 ₽).</t>
        </is>
      </c>
      <c r="F10" s="2" t="inlineStr">
        <is>
          <t>При каждом клике «Применить» скидка увеличивается на 1 990 ₽ (можно получить курс бесплатно за 0 ₽). При смене тарифа скидка остаётся зафиксированной старой суммой.</t>
        </is>
      </c>
      <c r="G10" s="2" t="inlineStr">
        <is>
          <t>Критическая</t>
        </is>
      </c>
      <c r="H10" s="2" t="inlineStr">
        <is>
          <t>Критический</t>
        </is>
      </c>
      <c r="I10" s="3">
        <f>HYPERLINK("https://github.com/msmr14/kvittoqademo/blob/main/screenshots/BUG-09.png", "скриншот с суммированием скидки в блоке «Итого» ↗")</f>
        <v/>
      </c>
    </row>
    <row r="11">
      <c r="A11" s="2" t="inlineStr">
        <is>
          <t>BUG-10</t>
        </is>
      </c>
      <c r="B11" s="2" t="inlineStr">
        <is>
          <t>Экран успеха: Поле «Чек на» пустое, если не был указан альтернативный email</t>
        </is>
      </c>
      <c r="C11" s="2" t="inlineStr">
        <is>
          <t>Chrome 129, Windows 11, стенд https://kvitto-qa-demo.vercel.app</t>
        </is>
      </c>
      <c r="D11" s="2" t="inlineStr">
        <is>
          <t>1. Заполнить форму с основным email: «user@example.com»
2. Чекбокс «Отправить чек на другой email» не включать
3. Нажать кнопку «Оплатить» и дождаться экрана успеха</t>
        </is>
      </c>
      <c r="E11" s="2" t="inlineStr">
        <is>
          <t>В строке «Чек на» отображается основной адрес покупателя: «user@example.com» (по ТЗ: «адрес, на который придёт чек»).</t>
        </is>
      </c>
      <c r="F11" s="2" t="inlineStr">
        <is>
          <t>Строка «Чек на» остаётся пустой.</t>
        </is>
      </c>
      <c r="G11" s="2" t="inlineStr">
        <is>
          <t>Средняя</t>
        </is>
      </c>
      <c r="H11" s="2" t="inlineStr">
        <is>
          <t>Средний</t>
        </is>
      </c>
      <c r="I11" s="3">
        <f>HYPERLINK("https://github.com/msmr14/kvittoqademo/blob/main/screenshots/BUG-10.png", "скриншот экрана «Платёж создан» с пустой строкой «Чек на» ↗")</f>
        <v/>
      </c>
    </row>
    <row r="12">
      <c r="A12" s="2" t="inlineStr">
        <is>
          <t>BUG-11</t>
        </is>
      </c>
      <c r="B12" s="2" t="inlineStr">
        <is>
          <t>Адаптив: Появление горизонтального скролла на ширине экрана 360 px</t>
        </is>
      </c>
      <c r="C12" s="2" t="inlineStr">
        <is>
          <t>Chrome DevTools (эмуляция мобильного устройства, ширина 360 px), Safari iOS</t>
        </is>
      </c>
      <c r="D12" s="2" t="inlineStr">
        <is>
          <t>1. Открыть стенд в браузере с шириной окна 360 px (минимальная ширина по ТЗ)
2. Проверить наличие горизонтальной прокрутки страницы</t>
        </is>
      </c>
      <c r="E12" s="2" t="inlineStr">
        <is>
          <t>Страница отображается без горизонтального скролла (по ТЗ: «Корректно отображается на ширине от 360 px, без горизонтального скролла»).</t>
        </is>
      </c>
      <c r="F12" s="2" t="inlineStr">
        <is>
          <t>Контент шире экрана на 36 px (scrollWidth = 396 px). Страница прокручивается влево-вправо.</t>
        </is>
      </c>
      <c r="G12" s="2" t="inlineStr">
        <is>
          <t>Средняя</t>
        </is>
      </c>
      <c r="H12" s="2" t="inlineStr">
        <is>
          <t>Высокий</t>
        </is>
      </c>
      <c r="I12" s="3">
        <f>HYPERLINK("https://github.com/msmr14/kvittoqademo/blob/main/screenshots/BUG-11.png", "скриншот DevTools в режиме 360 px с замером ширины ↗")</f>
        <v/>
      </c>
    </row>
    <row r="13">
      <c r="A13" s="2" t="inlineStr">
        <is>
          <t>BUG-12</t>
        </is>
      </c>
      <c r="B13" s="2" t="inlineStr">
        <is>
          <t>API: GET /api/tariffs возвращает Content-Type: text/plain вместо application/json</t>
        </is>
      </c>
      <c r="C13" s="2" t="inlineStr">
        <is>
          <t>Postman, вкладка Network в DevTools</t>
        </is>
      </c>
      <c r="D13" s="2" t="inlineStr">
        <is>
          <t>1. Отправить запрос GET https://kvitto-qa-demo.vercel.app/api/tariffs
2. Проверить заголовки ответа (Headers)</t>
        </is>
      </c>
      <c r="E13" s="2" t="inlineStr">
        <is>
          <t>Заголовок ответа Content-Type: application/json (по ТЗ: «Все ответы — JSON с заголовком Content-Type: application/json»).</t>
        </is>
      </c>
      <c r="F13" s="2" t="inlineStr">
        <is>
          <t>Сервер возвращает Content-Type: text/plain; charset=utf-8.</t>
        </is>
      </c>
      <c r="G13" s="2" t="inlineStr">
        <is>
          <t>Низкая</t>
        </is>
      </c>
      <c r="H13" s="2" t="inlineStr">
        <is>
          <t>Средний</t>
        </is>
      </c>
      <c r="I13" s="3">
        <f>HYPERLINK("https://github.com/msmr14/kvittoqademo/blob/main/postman/Kvitto_API.postman_collection.json", "коллекция Postman (GET /api/tariffs) ↗")</f>
        <v/>
      </c>
    </row>
    <row r="14">
      <c r="A14" s="2" t="inlineStr">
        <is>
          <t>BUG-13</t>
        </is>
      </c>
      <c r="B14" s="2" t="inlineStr">
        <is>
          <t>API: POST /api/payments возвращает статус 200 OK вместо 201 Created</t>
        </is>
      </c>
      <c r="C14" s="2" t="inlineStr">
        <is>
          <t>Postman, Python requests</t>
        </is>
      </c>
      <c r="D14" s="2" t="inlineStr">
        <is>
          <t>1. Отправить валидный запрос POST /api/payments с данными заказа
2. Проверить HTTP-статус ответа</t>
        </is>
      </c>
      <c r="E14" s="2" t="inlineStr">
        <is>
          <t>Статус 201 Created (по ТЗ: «201 — платёж создан»).</t>
        </is>
      </c>
      <c r="F14" s="2" t="inlineStr">
        <is>
          <t>Сервер возвращает статус 200 OK.</t>
        </is>
      </c>
      <c r="G14" s="2" t="inlineStr">
        <is>
          <t>Низкая</t>
        </is>
      </c>
      <c r="H14" s="2" t="inlineStr">
        <is>
          <t>Средний</t>
        </is>
      </c>
      <c r="I14" s="3">
        <f>HYPERLINK("https://github.com/msmr14/kvittoqademo/blob/main/postman/Kvitto_API.postman_collection.json", "коллекция Postman (POST /api/payments) ↗")</f>
        <v/>
      </c>
    </row>
    <row r="15">
      <c r="A15" s="2" t="inlineStr">
        <is>
          <t>BUG-14</t>
        </is>
      </c>
      <c r="B15" s="2" t="inlineStr">
        <is>
          <t>API: POST /api/payments игнорирует промокод и рассчитывает платёж по полной цене</t>
        </is>
      </c>
      <c r="C15" s="2" t="inlineStr">
        <is>
          <t>Postman, вкладка Network в DevTools</t>
        </is>
      </c>
      <c r="D15" s="2" t="inlineStr">
        <is>
          <t>1. Отправить POST /api/payments с телом: tariff_id='standard', promo_code='KVITTO10'
2. Проверить поле amount в теле ответа</t>
        </is>
      </c>
      <c r="E15" s="2" t="inlineStr">
        <is>
          <t>amount: 17910 (с учётом скидки 10%: 19 900 − 10% = 17 910 ₽ по ТЗ: «amount учитывает промокод»).</t>
        </is>
      </c>
      <c r="F15" s="2" t="inlineStr">
        <is>
          <t>В теле ответа возвращается amount: 19900. Бэкенд не применил скидку по промокоду.</t>
        </is>
      </c>
      <c r="G15" s="2" t="inlineStr">
        <is>
          <t>Критическая</t>
        </is>
      </c>
      <c r="H15" s="2" t="inlineStr">
        <is>
          <t>Критический</t>
        </is>
      </c>
      <c r="I15" s="3">
        <f>HYPERLINK("https://github.com/msmr14/kvittoqademo/blob/main/postman/Kvitto_API.postman_collection.json", "коллекция Postman (POST /api/payments (промокод)) ↗")</f>
        <v/>
      </c>
    </row>
    <row r="16">
      <c r="A16" s="2" t="inlineStr">
        <is>
          <t>BUG-15</t>
        </is>
      </c>
      <c r="B16" s="2" t="inlineStr">
        <is>
          <t>API: POST /api/payments перезаписывает receipt_email значением основного email</t>
        </is>
      </c>
      <c r="C16" s="2" t="inlineStr">
        <is>
          <t>Postman, вкладка Network в DevTools</t>
        </is>
      </c>
      <c r="D16" s="2" t="inlineStr">
        <is>
          <t>1. Отправить POST /api/payments с телом: email='main@test.ru', receipt_email='other@test.ru'
2. Проверить поле receipt_email в ответе сервера</t>
        </is>
      </c>
      <c r="E16" s="2" t="inlineStr">
        <is>
          <t>receipt_email: 'other@test.ru' (по ТЗ: чек отправляется на указанный адрес).</t>
        </is>
      </c>
      <c r="F16" s="2" t="inlineStr">
        <is>
          <t>В ответе receipt_email: 'main@test.ru'. Дополнительный email чека потерян.</t>
        </is>
      </c>
      <c r="G16" s="2" t="inlineStr">
        <is>
          <t>Высокая</t>
        </is>
      </c>
      <c r="H16" s="2" t="inlineStr">
        <is>
          <t>Высокий</t>
        </is>
      </c>
      <c r="I16" s="3">
        <f>HYPERLINK("https://github.com/msmr14/kvittoqademo/blob/main/postman/Kvitto_API.postman_collection.json", "коллекция Postman (POST /api/payments (чек на другой email)) ↗")</f>
        <v/>
      </c>
    </row>
    <row r="17">
      <c r="A17" s="2" t="inlineStr">
        <is>
          <t>BUG-16</t>
        </is>
      </c>
      <c r="B17" s="2" t="inlineStr">
        <is>
          <t>API: GET /api/payments/{id} возвращает 200 OK с пустым телом вместо 404 not_found</t>
        </is>
      </c>
      <c r="C17" s="2" t="inlineStr">
        <is>
          <t>Postman, вкладка Network в DevTools</t>
        </is>
      </c>
      <c r="D17" s="2" t="inlineStr">
        <is>
          <t>1. Отправить GET /api/payments/non_existent_id_12345
2. Проверить статус ответа и тело</t>
        </is>
      </c>
      <c r="E17" s="2" t="inlineStr">
        <is>
          <t>Статус 404 Not Found, тело: { "error": "not_found" } (по ТЗ: «404 { error: 'not_found' } — если платежа нет»).</t>
        </is>
      </c>
      <c r="F17" s="2" t="inlineStr">
        <is>
          <t>Статус 200 OK с пустым JSON-объектом {}.</t>
        </is>
      </c>
      <c r="G17" s="2" t="inlineStr">
        <is>
          <t>Средняя</t>
        </is>
      </c>
      <c r="H17" s="2" t="inlineStr">
        <is>
          <t>Высокий</t>
        </is>
      </c>
      <c r="I17" s="3">
        <f>HYPERLINK("https://github.com/msmr14/kvittoqademo/blob/main/postman/Kvitto_API.postman_collection.json", "коллекция Postman (GET /api/payments/{id}) ↗")</f>
        <v/>
      </c>
    </row>
    <row r="18">
      <c r="A18" s="2" t="inlineStr">
        <is>
          <t>BUG-17</t>
        </is>
      </c>
      <c r="B18" s="2" t="inlineStr">
        <is>
          <t>API: POST /api/payments падает с ошибкой 500 Internal Server Error при отсутствии телефона</t>
        </is>
      </c>
      <c r="C18" s="2" t="inlineStr">
        <is>
          <t>Postman, вкладка Network в DevTools</t>
        </is>
      </c>
      <c r="D18" s="2" t="inlineStr">
        <is>
          <t>1. Отправить POST /api/payments с телом без поля phone или с пустым телом {}
2. Проверить статус ответа</t>
        </is>
      </c>
      <c r="E18" s="2" t="inlineStr">
        <is>
          <t>Статус 422 Unprocessable Entity с описанием ошибки валидации (по ТЗ: «422 — ошибка данных»).</t>
        </is>
      </c>
      <c r="F18" s="2" t="inlineStr">
        <is>
          <t>Сервер падает с HTTP 500: {"error": "internal_error"}.</t>
        </is>
      </c>
      <c r="G18" s="2" t="inlineStr">
        <is>
          <t>Критическая</t>
        </is>
      </c>
      <c r="H18" s="2" t="inlineStr">
        <is>
          <t>Критический</t>
        </is>
      </c>
      <c r="I18" s="3">
        <f>HYPERLINK("https://github.com/msmr14/kvittoqademo/blob/main/postman/Kvitto_API.postman_collection.json", "коллекция Postman (POST /api/payments (пустое тело)) ↗")</f>
        <v/>
      </c>
    </row>
    <row r="19">
      <c r="A19" s="2" t="inlineStr">
        <is>
          <t>BUG-18</t>
        </is>
      </c>
      <c r="B19" s="2" t="inlineStr">
        <is>
          <t>API: POST /api/payments принимает недопустимый срок рассрочки 5 месяцев</t>
        </is>
      </c>
      <c r="C19" s="2" t="inlineStr">
        <is>
          <t>Postman, вкладка Network в DevTools</t>
        </is>
      </c>
      <c r="D19" s="2" t="inlineStr">
        <is>
          <t>1. Отправить POST /api/payments с method='installment' и installment_months=5
2. Проверить статус ответа</t>
        </is>
      </c>
      <c r="E19" s="2" t="inlineStr">
        <is>
          <t>Статус 422 с сообщением об ошибке в поле installment_months (по ТЗ допустимы только 3, 6, 12).</t>
        </is>
      </c>
      <c r="F19" s="2" t="inlineStr">
        <is>
          <t>Статус 200 OK, платёж успешно создан со сроком 5 месяцев.</t>
        </is>
      </c>
      <c r="G19" s="2" t="inlineStr">
        <is>
          <t>Высокая</t>
        </is>
      </c>
      <c r="H19" s="2" t="inlineStr">
        <is>
          <t>Высокий</t>
        </is>
      </c>
      <c r="I19" s="3">
        <f>HYPERLINK("https://github.com/msmr14/kvittoqademo/blob/main/postman/Kvitto_API.postman_collection.json", "коллекция Postman (POST /api/payments (срок 5 мес.)) ↗")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2026-10-19T19:04:46Z</dcterms:created>
  <dcterms:modified xsi:type="dcterms:W3CDTF">2026-10-20T17:15:00Z</dcterms:modified>
</cp:coreProperties>
</file>